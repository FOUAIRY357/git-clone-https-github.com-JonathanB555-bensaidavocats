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d'action" sheetId="1" state="visible" r:id="rId3"/>
    <sheet name="Depots" sheetId="2" state="visible" r:id="rId4"/>
    <sheet name="Domaines" sheetId="3" state="visible" r:id="rId5"/>
    <sheet name="Budget" sheetId="4" state="visible" r:id="rId6"/>
    <sheet name="Portefeuille" sheetId="5" state="visible" r:id="rId7"/>
    <sheet name="A trancher" sheetId="6" state="visible" r:id="rId8"/>
    <sheet name="Legend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<sst xmlns="http://schemas.openxmlformats.org/spreadsheetml/2006/main" count="329" uniqueCount="205">
  <si>
    <t xml:space="preserve">LA VIE FINANCIÈRE — plan d'action</t>
  </si>
  <si>
    <t xml:space="preserve">Acquisition des marques et des noms de domaine en nom propre. Édition confiée à MIKA via une société commerciale distincte. Situation au 20 août 2026.</t>
  </si>
  <si>
    <t xml:space="preserve">#</t>
  </si>
  <si>
    <t xml:space="preserve">Action</t>
  </si>
  <si>
    <t xml:space="preserve">Échéance</t>
  </si>
  <si>
    <t xml:space="preserve">Responsable</t>
  </si>
  <si>
    <t xml:space="preserve">Coût mini (€)</t>
  </si>
  <si>
    <t xml:space="preserve">Coût maxi (€)</t>
  </si>
  <si>
    <t xml:space="preserve">Statut</t>
  </si>
  <si>
    <t xml:space="preserve">Bloquant pour</t>
  </si>
  <si>
    <t xml:space="preserve">Trancher la détention : seul, ou 50/50 avec Jonathan</t>
  </si>
  <si>
    <t xml:space="preserve">Immédiat</t>
  </si>
  <si>
    <t xml:space="preserve">FO</t>
  </si>
  <si>
    <t xml:space="preserve">À faire</t>
  </si>
  <si>
    <t xml:space="preserve">La fenêtre est ouverte tant que la marque ne vaut rien</t>
  </si>
  <si>
    <t xml:space="preserve">Réserver laviefinanciere.fr, lesetoilesdelassurancevie.fr, lesetoilesdupatrimoine.fr</t>
  </si>
  <si>
    <t xml:space="preserve">Rien, mais à faire avant le dépôt (publication au BOPI)</t>
  </si>
  <si>
    <t xml:space="preserve">Placer un backorder sur laviefinanciere.com</t>
  </si>
  <si>
    <t xml:space="preserve">Rien</t>
  </si>
  <si>
    <t xml:space="preserve">Vérifier le régime matrimonial ; si bien propre voulu, financer sur des propres et documenter le remploi</t>
  </si>
  <si>
    <t xml:space="preserve">L'acquisition — ne se rattrape pas après</t>
  </si>
  <si>
    <t xml:space="preserve">Mandater un CPI : recherche d'antériorités classes 16/35/41, France + MUE + Madrid</t>
  </si>
  <si>
    <t xml:space="preserve">Cette semaine</t>
  </si>
  <si>
    <t xml:space="preserve">Le dépôt — seul point encore bloquant</t>
  </si>
  <si>
    <t xml:space="preserve">Dépôt INPI : LA VIE FINANCIÈRE, verbale, classes 16, 35, 41</t>
  </si>
  <si>
    <t xml:space="preserve">J+10</t>
  </si>
  <si>
    <t xml:space="preserve">—</t>
  </si>
  <si>
    <t xml:space="preserve">Dépôt INPI : LES ÉTOILES DE L'ASSURANCE VIE, verbale, classes 35, 41</t>
  </si>
  <si>
    <t xml:space="preserve">Constituer le dossier de preuve de disponibilité (dossier de reprise, UDRP D2010-0529, archives)</t>
  </si>
  <si>
    <t xml:space="preserve">Une défense éventuelle</t>
  </si>
  <si>
    <t xml:space="preserve">Consultation déontologique écrite du Bâtonnier sur l'exploitation du média</t>
  </si>
  <si>
    <t xml:space="preserve">Avant la relance</t>
  </si>
  <si>
    <t xml:space="preserve">La relance, pas le dépôt</t>
  </si>
  <si>
    <t xml:space="preserve">Protocole de lancement signé avec MIKA, avant qu'il constitue sa société</t>
  </si>
  <si>
    <t xml:space="preserve">La constitution de l'éditrice</t>
  </si>
  <si>
    <t xml:space="preserve">Licence de marque signée en nom propre (redevance fixe, usage documenté, changement de contrôle)</t>
  </si>
  <si>
    <t xml:space="preserve">L'exploitation</t>
  </si>
  <si>
    <t xml:space="preserve">Décider si la marque reste en nom propre ou part en société — tant qu'elle ne vaut rien</t>
  </si>
  <si>
    <t xml:space="preserve">La transmission et la fiscalité des flux</t>
  </si>
  <si>
    <t xml:space="preserve">TOTAL</t>
  </si>
  <si>
    <t xml:space="preserve">Avancement (actions faites / total)</t>
  </si>
  <si>
    <t xml:space="preserve">Actions restantes</t>
  </si>
  <si>
    <t xml:space="preserve">Dépôts INPI</t>
  </si>
  <si>
    <t xml:space="preserve">Barème INPI : taxe de base pour une classe, puis un montant par classe supplémentaire. Les deux cellules jaunes sont les paramètres à ajuster si le barème change.</t>
  </si>
  <si>
    <t xml:space="preserve">Taxe de dépôt, 1 classe (€)</t>
  </si>
  <si>
    <t xml:space="preserve">Chaque classe supplémentaire (€)</t>
  </si>
  <si>
    <t xml:space="preserve">Marque</t>
  </si>
  <si>
    <t xml:space="preserve">Type</t>
  </si>
  <si>
    <t xml:space="preserve">Classes</t>
  </si>
  <si>
    <t xml:space="preserve">Nb de classes</t>
  </si>
  <si>
    <t xml:space="preserve">Coût (€)</t>
  </si>
  <si>
    <t xml:space="preserve">Commentaire</t>
  </si>
  <si>
    <t xml:space="preserve">LA VIE FINANCIÈRE</t>
  </si>
  <si>
    <t xml:space="preserve">Verbale</t>
  </si>
  <si>
    <t xml:space="preserve">16, 35, 41</t>
  </si>
  <si>
    <t xml:space="preserve">À déposer</t>
  </si>
  <si>
    <t xml:space="preserve">Cœur du dispositif. Classe 36 seulement si le libellé reste étroit : information financière, sans conseil ni intermédiation.</t>
  </si>
  <si>
    <t xml:space="preserve">LES ÉTOILES DE L'ASSURANCE VIE</t>
  </si>
  <si>
    <t xml:space="preserve">35, 41</t>
  </si>
  <si>
    <t xml:space="preserve">Véhicule du palmarès annuel. À déposer en même temps que la priorité 1, pas après.</t>
  </si>
  <si>
    <t xml:space="preserve">LES ÉTOILES DU PATRIMOINE</t>
  </si>
  <si>
    <t xml:space="preserve">Optionnel</t>
  </si>
  <si>
    <t xml:space="preserve">Création nouvelle, sans historique de reprise. Utile si l'on veut un signe qui ne dépende d'aucune reprise.</t>
  </si>
  <si>
    <t xml:space="preserve">LA VIE FRANÇAISE</t>
  </si>
  <si>
    <t xml:space="preserve">Écarté</t>
  </si>
  <si>
    <t xml:space="preserve">Signe libre mais générique, et en zone de friction avec La Vie du groupe Bayard, toujours exploitée.</t>
  </si>
  <si>
    <t xml:space="preserve">TOTAL des dépôts marqués "À déposer"</t>
  </si>
  <si>
    <t xml:space="preserve">Rappel : pas de classe 45 (services juridiques). Le média informe, le cabinet conseille, et les deux ne portent pas le même nom.</t>
  </si>
  <si>
    <t xml:space="preserve">Rappel : on ne dépose que les classes exploitées dans les cinq ans, le compteur de déchéance de l'art. L. 714-5 CPI partant de l'enregistrement.</t>
  </si>
  <si>
    <t xml:space="preserve">Noms de domaine</t>
  </si>
  <si>
    <t xml:space="preserve">Statut établi par délégation DNS le 20/08/2026 avec scripts/check-domaines.py. « Libre » signifie non délégué, donc très probablement non enregistré : la confirmation se fait chez le registrar.</t>
  </si>
  <si>
    <t xml:space="preserve">Coût annuel unitaire estimé (€)</t>
  </si>
  <si>
    <t xml:space="preserve">Domaine</t>
  </si>
  <si>
    <t xml:space="preserve">Statut DNS (20/08/2026)</t>
  </si>
  <si>
    <t xml:space="preserve">Lecture</t>
  </si>
  <si>
    <t xml:space="preserve">Priorité</t>
  </si>
  <si>
    <t xml:space="preserve">Coût annuel (€)</t>
  </si>
  <si>
    <t xml:space="preserve">laviefinanciere.fr</t>
  </si>
  <si>
    <t xml:space="preserve">NXDOMAIN</t>
  </si>
  <si>
    <t xml:space="preserve">Libre</t>
  </si>
  <si>
    <t xml:space="preserve">À réserver</t>
  </si>
  <si>
    <t xml:space="preserve">lesetoilesdelassurancevie.fr</t>
  </si>
  <si>
    <t xml:space="preserve">lesetoilesdupatrimoine.fr</t>
  </si>
  <si>
    <t xml:space="preserve">lavie-financiere.fr</t>
  </si>
  <si>
    <t xml:space="preserve">laviefinanciere.net</t>
  </si>
  <si>
    <t xml:space="preserve">laviefinanciere.eu</t>
  </si>
  <si>
    <t xml:space="preserve">lavie-financiere.com</t>
  </si>
  <si>
    <t xml:space="preserve">lesetoilesdelassurancevie.com</t>
  </si>
  <si>
    <t xml:space="preserve">lesetoilesdupatrimoine.com</t>
  </si>
  <si>
    <t xml:space="preserve">etoilesdupatrimoine.fr</t>
  </si>
  <si>
    <t xml:space="preserve">etoiles-assurance-vie.fr</t>
  </si>
  <si>
    <t xml:space="preserve">viefinanciere.fr</t>
  </si>
  <si>
    <t xml:space="preserve">laviefrancaise.fr</t>
  </si>
  <si>
    <t xml:space="preserve">Libre, mais signe écarté (friction Bayard)</t>
  </si>
  <si>
    <t xml:space="preserve">laviefinanciere.com</t>
  </si>
  <si>
    <t xml:space="preserve">SERVFAIL</t>
  </si>
  <si>
    <t xml:space="preserve">Pris, serveurs de noms hors service — titulaire radié depuis 2015</t>
  </si>
  <si>
    <t xml:space="preserve">Backorder</t>
  </si>
  <si>
    <t xml:space="preserve">viefinanciere.com</t>
  </si>
  <si>
    <t xml:space="preserve">NOERROR</t>
  </si>
  <si>
    <t xml:space="preserve">Pris et résolu</t>
  </si>
  <si>
    <t xml:space="preserve">Indisponible</t>
  </si>
  <si>
    <t xml:space="preserve">laviefrancaise.com</t>
  </si>
  <si>
    <t xml:space="preserve">TOTAL annuel des domaines à réserver</t>
  </si>
  <si>
    <t xml:space="preserve">Titulaire : vous, en nom propre, avec vos coordonnées personnelles — jamais celles du cabinet. Un whois pointant vers BENSAID AVOCATS relierait publiquement le média au cabinet.</t>
  </si>
  <si>
    <t xml:space="preserve">Pour le .fr, l'AFNIC restreint par défaut la diffusion des données des personnes physiques. Pour .com, .net et .eu, activer la protection whois du registrar.</t>
  </si>
  <si>
    <t xml:space="preserve">Budget d'entrée</t>
  </si>
  <si>
    <t xml:space="preserve">Les lignes en vert sont calculées depuis les onglets Domaines et Depots. Les lignes en bleu sont des estimations à ajuster.</t>
  </si>
  <si>
    <t xml:space="preserve">Poste</t>
  </si>
  <si>
    <t xml:space="preserve">Mini (€)</t>
  </si>
  <si>
    <t xml:space="preserve">Maxi (€)</t>
  </si>
  <si>
    <t xml:space="preserve">Source</t>
  </si>
  <si>
    <t xml:space="preserve">Noms de domaine, première année</t>
  </si>
  <si>
    <t xml:space="preserve">Onglet Domaines, total des domaines à réserver</t>
  </si>
  <si>
    <t xml:space="preserve">Backorder sur laviefinanciere.com</t>
  </si>
  <si>
    <t xml:space="preserve">Estimation, tarif courant des prestataires de drop-catching</t>
  </si>
  <si>
    <t xml:space="preserve">Recherche d'antériorités complète par un CPI</t>
  </si>
  <si>
    <t xml:space="preserve">Fourchette de marché — couvre France, MUE et Madrid</t>
  </si>
  <si>
    <t xml:space="preserve">Onglet Depots, total des marques à déposer</t>
  </si>
  <si>
    <t xml:space="preserve">TOTAL À ENGAGER</t>
  </si>
  <si>
    <t xml:space="preserve">Calendrier INPI : publication au BOPI sous six semaines, opposition deux mois, enregistrement en cinq à six mois sans opposition.</t>
  </si>
  <si>
    <t xml:space="preserve">Les droits rétroagissent à la date de dépôt : l'exploitation peut démarrer dès le dépôt, sous la mention ™ et non ®.</t>
  </si>
  <si>
    <t xml:space="preserve">Portefeuille historique — toutes les marques sont expirées</t>
  </si>
  <si>
    <t xml:space="preserve">Source : données INPI et BODACC restituées par Pappers, vérifications du 19/08/2026. Les deux titulaires sont radiés : LA VIE FINANCIERE SA depuis le 25/04/2013, MONEYWEEK FRANCE depuis le 16/04/2015.</t>
  </si>
  <si>
    <t xml:space="preserve">N° INPI</t>
  </si>
  <si>
    <t xml:space="preserve">Signe</t>
  </si>
  <si>
    <t xml:space="preserve">Expiration</t>
  </si>
  <si>
    <t xml:space="preserve">FR99770603</t>
  </si>
  <si>
    <t xml:space="preserve">LA VIE FINANCIERE</t>
  </si>
  <si>
    <t xml:space="preserve">Expirée</t>
  </si>
  <si>
    <t xml:space="preserve">22/01/2019</t>
  </si>
  <si>
    <t xml:space="preserve">9, 16, 35, 36, 38, 41</t>
  </si>
  <si>
    <t xml:space="preserve">FR99785142</t>
  </si>
  <si>
    <t xml:space="preserve">LA VIE FINANCIERE L'HEBDO CONSEIL DE VOTRE ARGENT</t>
  </si>
  <si>
    <t xml:space="preserve">Mixte</t>
  </si>
  <si>
    <t xml:space="preserve">07/04/2019</t>
  </si>
  <si>
    <t xml:space="preserve">FR1463999</t>
  </si>
  <si>
    <t xml:space="preserve">06/05/2018</t>
  </si>
  <si>
    <t xml:space="preserve">9, 16, 35, 36, 38, 39, 40, 41, 42</t>
  </si>
  <si>
    <t xml:space="preserve">FR3552878</t>
  </si>
  <si>
    <t xml:space="preserve">LES ETOILES DE L'ASSURANCE VIE</t>
  </si>
  <si>
    <t xml:space="preserve">01/02/2018</t>
  </si>
  <si>
    <t xml:space="preserve">FR3575774</t>
  </si>
  <si>
    <t xml:space="preserve">15/05/2018</t>
  </si>
  <si>
    <t xml:space="preserve">FR3575798</t>
  </si>
  <si>
    <t xml:space="preserve">LES ETOILES DE LA FINANCE</t>
  </si>
  <si>
    <t xml:space="preserve">FR3575942</t>
  </si>
  <si>
    <t xml:space="preserve">LES ETOILES DE L'IMMOBILIER</t>
  </si>
  <si>
    <t xml:space="preserve">FR3575775</t>
  </si>
  <si>
    <t xml:space="preserve">LES ETOILES DU LOGEMENT</t>
  </si>
  <si>
    <t xml:space="preserve">FR3492526</t>
  </si>
  <si>
    <t xml:space="preserve">L'IMMOBILIER + Net</t>
  </si>
  <si>
    <t xml:space="preserve">03/04/2017</t>
  </si>
  <si>
    <t xml:space="preserve">36</t>
  </si>
  <si>
    <t xml:space="preserve">FR97708236</t>
  </si>
  <si>
    <t xml:space="preserve">STRATEGIE GRAPHIQUE</t>
  </si>
  <si>
    <t xml:space="preserve">10/12/2017</t>
  </si>
  <si>
    <t xml:space="preserve">FR97681824</t>
  </si>
  <si>
    <t xml:space="preserve">10/06/2017</t>
  </si>
  <si>
    <t xml:space="preserve">9, 16, 38, 41</t>
  </si>
  <si>
    <t xml:space="preserve">À réconcilier : la décision UDRP OMPI D2010-0529 énumère trois marques « LA VIE FINANCIERE » enregistrées en 1999, là où ce relevé en recense deux sur ce signe. À trancher à l'INPI.</t>
  </si>
  <si>
    <t xml:space="preserve">Points à trancher</t>
  </si>
  <si>
    <t xml:space="preserve">Colonnes Décision et Date à remplir. Une ligne d'exemple figure sur l'onglet Legende.</t>
  </si>
  <si>
    <t xml:space="preserve">Point</t>
  </si>
  <si>
    <t xml:space="preserve">Décision</t>
  </si>
  <si>
    <t xml:space="preserve">Date</t>
  </si>
  <si>
    <t xml:space="preserve">Détention : seul, ou 50/50 avec Jonathan. Si 50/50, le faire tant que la marque ne vaut rien</t>
  </si>
  <si>
    <t xml:space="preserve">Avant le dépôt</t>
  </si>
  <si>
    <t xml:space="preserve">Régime matrimonial : bien commun ou bien propre, et financement en conséquence</t>
  </si>
  <si>
    <t xml:space="preserve">Avant l'acquisition</t>
  </si>
  <si>
    <t xml:space="preserve">Marque en nom propre à titre durable, ou apport à une société civile</t>
  </si>
  <si>
    <t xml:space="preserve">Classe 36 : déposée avec un libellé étroit, ou écartée</t>
  </si>
  <si>
    <t xml:space="preserve">Montant et forme de la redevance de licence, avec les comparables</t>
  </si>
  <si>
    <t xml:space="preserve">Avant la licence</t>
  </si>
  <si>
    <t xml:space="preserve">Président de l'éditrice et directeur de la publication : MIKA, ou un tiers résident français</t>
  </si>
  <si>
    <t xml:space="preserve">Avant la constitution de l'éditrice</t>
  </si>
  <si>
    <t xml:space="preserve">Composition du jury du palmarès « Les Étoiles de l'assurance vie »</t>
  </si>
  <si>
    <t xml:space="preserve">Avant la première édition</t>
  </si>
  <si>
    <t xml:space="preserve">Régime de TVA de la redevance : taux normal, ou franchise en base</t>
  </si>
  <si>
    <t xml:space="preserve">Avant la première facture</t>
  </si>
  <si>
    <t xml:space="preserve">Légende et mode d'emploi</t>
  </si>
  <si>
    <t xml:space="preserve">Classeur de pilotage du dossier LA VIE FINANCIÈRE — 20 août 2026</t>
  </si>
  <si>
    <t xml:space="preserve">Code couleur</t>
  </si>
  <si>
    <t xml:space="preserve">Texte bleu — cellule de saisie ou hypothèse : vous pouvez la modifier</t>
  </si>
  <si>
    <t xml:space="preserve">Texte noir — cellule calculée par une formule : ne pas écraser</t>
  </si>
  <si>
    <t xml:space="preserve">Texte vert — renvoi vers un autre onglet du classeur</t>
  </si>
  <si>
    <t xml:space="preserve">Fond jaune — cellule à remplir par vous</t>
  </si>
  <si>
    <t xml:space="preserve">Fond doré — total ou résultat clé</t>
  </si>
  <si>
    <t xml:space="preserve">Où saisir</t>
  </si>
  <si>
    <t xml:space="preserve">Onglet Plan d'action — colonne Statut : liste déroulante À faire / En cours / Fait / Sans objet. L'avancement se calcule tout seul en bas.</t>
  </si>
  <si>
    <t xml:space="preserve">Onglet Depots — cellules B4 et B5 : barème INPI. Colonne Nb de classes : le coût se recalcule.</t>
  </si>
  <si>
    <t xml:space="preserve">Onglet Domaines — cellule B4 : coût annuel unitaire. Colonne Action : « À réserver » déclenche le comptage dans le total.</t>
  </si>
  <si>
    <t xml:space="preserve">Onglet Budget — colonnes Mini et Maxi en bleu : estimations à ajuster. Les lignes vertes viennent des autres onglets.</t>
  </si>
  <si>
    <t xml:space="preserve">Onglet A trancher — colonnes Décision et Date : à remplir au fil des arbitrages.</t>
  </si>
  <si>
    <t xml:space="preserve">Exemple de ligne remplie, onglet A trancher</t>
  </si>
  <si>
    <t xml:space="preserve">Détention : seul, ou 50/50 avec Jonathan</t>
  </si>
  <si>
    <t xml:space="preserve">Détention seule, Jonathan informé</t>
  </si>
  <si>
    <t xml:space="preserve">22/08/2026</t>
  </si>
  <si>
    <t xml:space="preserve">Sources et documents du dossier</t>
  </si>
  <si>
    <t xml:space="preserve">DOSSIER-la-vie-financiere.md — le constat de disponibilité, les domaines, la décision UDRP OMPI D2010-0529</t>
  </si>
  <si>
    <t xml:space="preserve">note-deontologie-structure.md — art. 22 du code de déontologie, droit de la presse, options de détention</t>
  </si>
  <si>
    <t xml:space="preserve">note-arret-schema.md — schéma arrêté, jurisprudence Watomet (Cass. 1re civ., 14 mai 2009, n° 08-13.422)</t>
  </si>
  <si>
    <t xml:space="preserve">note-editrice-et-licence.md — l'éditrice, la licence, les quatre questions sur MIKA</t>
  </si>
  <si>
    <t xml:space="preserve">checklist-acquisition-nom-propre.md — la marche à suivre, dont ce classeur est la version de pilotage</t>
  </si>
  <si>
    <t xml:space="preserve">scripts/check-domaines.py — l'outil qui a établi la disponibilité des domaines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</si>
</sst>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&quot;"/>
    <numFmt numFmtId="166" formatCode="0\ 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37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37"/>
        <bgColor rgb="FF333300"/>
      </patternFill>
    </fill>
    <fill>
      <patternFill patternType="solid">
        <fgColor rgb="FFB08A46"/>
        <bgColor rgb="FF8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B08A46"/>
      <rgbColor rgb="FF003366"/>
      <rgbColor rgb="FF339966"/>
      <rgbColor rgb="FF003300"/>
      <rgbColor rgb="FF333300"/>
      <rgbColor rgb="FF993300"/>
      <rgbColor rgb="FF993366"/>
      <rgbColor rgb="FF333399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4" min="3" style="0" width="16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7.75" hidden="false" customHeight="true" outlineLevel="0" collapsed="false">
      <c r="A5" s="4" t="n">
        <v>1</v>
      </c>
      <c r="B5" s="5" t="s">
        <v>10</v>
      </c>
      <c r="C5" s="4" t="s">
        <v>11</v>
      </c>
      <c r="D5" s="6" t="s">
        <v>12</v>
      </c>
      <c r="E5" s="7" t="n">
        <v>0</v>
      </c>
      <c r="F5" s="7" t="n">
        <v>0</v>
      </c>
      <c r="G5" s="6" t="s">
        <v>13</v>
      </c>
      <c r="H5" s="5" t="s">
        <v>14</v>
      </c>
    </row>
    <row r="6" customFormat="false" ht="27.75" hidden="false" customHeight="true" outlineLevel="0" collapsed="false">
      <c r="A6" s="4" t="n">
        <v>2</v>
      </c>
      <c r="B6" s="5" t="s">
        <v>15</v>
      </c>
      <c r="C6" s="4" t="s">
        <v>11</v>
      </c>
      <c r="D6" s="6" t="s">
        <v>12</v>
      </c>
      <c r="E6" s="8" t="n">
        <f aca="false">Domaines!F23</f>
        <v>135</v>
      </c>
      <c r="F6" s="8" t="n">
        <f aca="false">Domaines!F23</f>
        <v>135</v>
      </c>
      <c r="G6" s="6" t="s">
        <v>13</v>
      </c>
      <c r="H6" s="5" t="s">
        <v>16</v>
      </c>
    </row>
    <row r="7" customFormat="false" ht="27.75" hidden="false" customHeight="true" outlineLevel="0" collapsed="false">
      <c r="A7" s="4" t="n">
        <v>3</v>
      </c>
      <c r="B7" s="5" t="s">
        <v>17</v>
      </c>
      <c r="C7" s="4" t="s">
        <v>11</v>
      </c>
      <c r="D7" s="6" t="s">
        <v>12</v>
      </c>
      <c r="E7" s="7" t="n">
        <v>30</v>
      </c>
      <c r="F7" s="7" t="n">
        <v>60</v>
      </c>
      <c r="G7" s="6" t="s">
        <v>13</v>
      </c>
      <c r="H7" s="5" t="s">
        <v>18</v>
      </c>
    </row>
    <row r="8" customFormat="false" ht="27.75" hidden="false" customHeight="true" outlineLevel="0" collapsed="false">
      <c r="A8" s="4" t="n">
        <v>4</v>
      </c>
      <c r="B8" s="5" t="s">
        <v>19</v>
      </c>
      <c r="C8" s="4" t="s">
        <v>11</v>
      </c>
      <c r="D8" s="6" t="s">
        <v>12</v>
      </c>
      <c r="E8" s="7" t="n">
        <v>0</v>
      </c>
      <c r="F8" s="7" t="n">
        <v>0</v>
      </c>
      <c r="G8" s="6" t="s">
        <v>13</v>
      </c>
      <c r="H8" s="5" t="s">
        <v>20</v>
      </c>
    </row>
    <row r="9" customFormat="false" ht="27.75" hidden="false" customHeight="true" outlineLevel="0" collapsed="false">
      <c r="A9" s="4" t="n">
        <v>5</v>
      </c>
      <c r="B9" s="5" t="s">
        <v>21</v>
      </c>
      <c r="C9" s="4" t="s">
        <v>22</v>
      </c>
      <c r="D9" s="6" t="s">
        <v>12</v>
      </c>
      <c r="E9" s="7" t="n">
        <v>400</v>
      </c>
      <c r="F9" s="7" t="n">
        <v>900</v>
      </c>
      <c r="G9" s="6" t="s">
        <v>13</v>
      </c>
      <c r="H9" s="5" t="s">
        <v>23</v>
      </c>
    </row>
    <row r="10" customFormat="false" ht="27.75" hidden="false" customHeight="true" outlineLevel="0" collapsed="false">
      <c r="A10" s="4" t="n">
        <v>6</v>
      </c>
      <c r="B10" s="5" t="s">
        <v>24</v>
      </c>
      <c r="C10" s="4" t="s">
        <v>25</v>
      </c>
      <c r="D10" s="6" t="s">
        <v>12</v>
      </c>
      <c r="E10" s="8" t="n">
        <f aca="false">Depots!E7</f>
        <v>270</v>
      </c>
      <c r="F10" s="8" t="n">
        <f aca="false">Depots!E7</f>
        <v>270</v>
      </c>
      <c r="G10" s="6" t="s">
        <v>13</v>
      </c>
      <c r="H10" s="5" t="s">
        <v>26</v>
      </c>
    </row>
    <row r="11" customFormat="false" ht="27.75" hidden="false" customHeight="true" outlineLevel="0" collapsed="false">
      <c r="A11" s="4" t="n">
        <v>7</v>
      </c>
      <c r="B11" s="5" t="s">
        <v>27</v>
      </c>
      <c r="C11" s="4" t="s">
        <v>25</v>
      </c>
      <c r="D11" s="6" t="s">
        <v>12</v>
      </c>
      <c r="E11" s="8" t="n">
        <f aca="false">Depots!E8</f>
        <v>230</v>
      </c>
      <c r="F11" s="8" t="n">
        <f aca="false">Depots!E8</f>
        <v>230</v>
      </c>
      <c r="G11" s="6" t="s">
        <v>13</v>
      </c>
      <c r="H11" s="5" t="s">
        <v>26</v>
      </c>
    </row>
    <row r="12" customFormat="false" ht="27.75" hidden="false" customHeight="true" outlineLevel="0" collapsed="false">
      <c r="A12" s="4" t="n">
        <v>8</v>
      </c>
      <c r="B12" s="5" t="s">
        <v>28</v>
      </c>
      <c r="C12" s="4" t="s">
        <v>25</v>
      </c>
      <c r="D12" s="6" t="s">
        <v>12</v>
      </c>
      <c r="E12" s="7" t="n">
        <v>0</v>
      </c>
      <c r="F12" s="7" t="n">
        <v>0</v>
      </c>
      <c r="G12" s="6" t="s">
        <v>13</v>
      </c>
      <c r="H12" s="5" t="s">
        <v>29</v>
      </c>
    </row>
    <row r="13" customFormat="false" ht="27.75" hidden="false" customHeight="true" outlineLevel="0" collapsed="false">
      <c r="A13" s="4" t="n">
        <v>9</v>
      </c>
      <c r="B13" s="5" t="s">
        <v>30</v>
      </c>
      <c r="C13" s="4" t="s">
        <v>31</v>
      </c>
      <c r="D13" s="6" t="s">
        <v>12</v>
      </c>
      <c r="E13" s="7" t="n">
        <v>0</v>
      </c>
      <c r="F13" s="7" t="n">
        <v>0</v>
      </c>
      <c r="G13" s="6" t="s">
        <v>13</v>
      </c>
      <c r="H13" s="5" t="s">
        <v>32</v>
      </c>
    </row>
    <row r="14" customFormat="false" ht="27.75" hidden="false" customHeight="true" outlineLevel="0" collapsed="false">
      <c r="A14" s="4" t="n">
        <v>10</v>
      </c>
      <c r="B14" s="5" t="s">
        <v>33</v>
      </c>
      <c r="C14" s="4" t="s">
        <v>31</v>
      </c>
      <c r="D14" s="6" t="s">
        <v>12</v>
      </c>
      <c r="E14" s="7" t="n">
        <v>0</v>
      </c>
      <c r="F14" s="7" t="n">
        <v>0</v>
      </c>
      <c r="G14" s="6" t="s">
        <v>13</v>
      </c>
      <c r="H14" s="5" t="s">
        <v>34</v>
      </c>
    </row>
    <row r="15" customFormat="false" ht="27.75" hidden="false" customHeight="true" outlineLevel="0" collapsed="false">
      <c r="A15" s="4" t="n">
        <v>11</v>
      </c>
      <c r="B15" s="5" t="s">
        <v>35</v>
      </c>
      <c r="C15" s="4" t="s">
        <v>31</v>
      </c>
      <c r="D15" s="6" t="s">
        <v>12</v>
      </c>
      <c r="E15" s="7" t="n">
        <v>0</v>
      </c>
      <c r="F15" s="7" t="n">
        <v>0</v>
      </c>
      <c r="G15" s="6" t="s">
        <v>13</v>
      </c>
      <c r="H15" s="5" t="s">
        <v>36</v>
      </c>
    </row>
    <row r="16" customFormat="false" ht="27.75" hidden="false" customHeight="true" outlineLevel="0" collapsed="false">
      <c r="A16" s="4" t="n">
        <v>12</v>
      </c>
      <c r="B16" s="5" t="s">
        <v>37</v>
      </c>
      <c r="C16" s="4" t="s">
        <v>31</v>
      </c>
      <c r="D16" s="6" t="s">
        <v>12</v>
      </c>
      <c r="E16" s="7" t="n">
        <v>0</v>
      </c>
      <c r="F16" s="7" t="n">
        <v>0</v>
      </c>
      <c r="G16" s="6" t="s">
        <v>13</v>
      </c>
      <c r="H16" s="5" t="s">
        <v>38</v>
      </c>
    </row>
    <row r="17" customFormat="false" ht="15" hidden="false" customHeight="false" outlineLevel="0" collapsed="false">
      <c r="A17" s="9"/>
      <c r="B17" s="10" t="s">
        <v>39</v>
      </c>
      <c r="C17" s="9"/>
      <c r="D17" s="9"/>
      <c r="E17" s="11" t="n">
        <f aca="false">SUM(E5:E16)</f>
        <v>1065</v>
      </c>
      <c r="F17" s="11" t="n">
        <f aca="false">SUM(F5:F16)</f>
        <v>1595</v>
      </c>
      <c r="G17" s="9"/>
      <c r="H17" s="9"/>
    </row>
    <row r="19" customFormat="false" ht="15" hidden="false" customHeight="false" outlineLevel="0" collapsed="false">
      <c r="B19" s="12" t="s">
        <v>40</v>
      </c>
      <c r="E19" s="13" t="n">
        <f aca="false">COUNTIF(G5:G16,"Fait")/COUNTA(G5:G16)</f>
        <v>0</v>
      </c>
    </row>
    <row r="20" customFormat="false" ht="15" hidden="false" customHeight="false" outlineLevel="0" collapsed="false">
      <c r="B20" s="14" t="s">
        <v>41</v>
      </c>
      <c r="E20" s="14" t="n">
        <f aca="false">COUNTIF(G5:G16,"À faire")+COUNTIF(G5:G16,"En cours")</f>
        <v>12</v>
      </c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G5:G16" type="list">
      <formula1>"À faire,En cours,Fait,Sans objet"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1" t="s">
        <v>42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43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2" t="s">
        <v>44</v>
      </c>
      <c r="B4" s="15" t="n">
        <v>190</v>
      </c>
    </row>
    <row r="5" customFormat="false" ht="15" hidden="false" customHeight="false" outlineLevel="0" collapsed="false">
      <c r="A5" s="12" t="s">
        <v>45</v>
      </c>
      <c r="B5" s="15" t="n">
        <v>40</v>
      </c>
    </row>
    <row r="6" customFormat="false" ht="30" hidden="false" customHeight="true" outlineLevel="0" collapsed="false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8</v>
      </c>
      <c r="G6" s="3" t="s">
        <v>51</v>
      </c>
    </row>
    <row r="7" customFormat="false" ht="33.75" hidden="false" customHeight="true" outlineLevel="0" collapsed="false">
      <c r="A7" s="4" t="s">
        <v>52</v>
      </c>
      <c r="B7" s="4" t="s">
        <v>53</v>
      </c>
      <c r="C7" s="4" t="s">
        <v>54</v>
      </c>
      <c r="D7" s="6" t="n">
        <v>3</v>
      </c>
      <c r="E7" s="16" t="n">
        <f aca="false">IF(D7=0,0,$B$4+$B$5*(D7-1))</f>
        <v>270</v>
      </c>
      <c r="F7" s="6" t="s">
        <v>55</v>
      </c>
      <c r="G7" s="5" t="s">
        <v>56</v>
      </c>
    </row>
    <row r="8" customFormat="false" ht="33.75" hidden="false" customHeight="true" outlineLevel="0" collapsed="false">
      <c r="A8" s="4" t="s">
        <v>57</v>
      </c>
      <c r="B8" s="4" t="s">
        <v>53</v>
      </c>
      <c r="C8" s="4" t="s">
        <v>58</v>
      </c>
      <c r="D8" s="6" t="n">
        <v>2</v>
      </c>
      <c r="E8" s="16" t="n">
        <f aca="false">IF(D8=0,0,$B$4+$B$5*(D8-1))</f>
        <v>230</v>
      </c>
      <c r="F8" s="6" t="s">
        <v>55</v>
      </c>
      <c r="G8" s="5" t="s">
        <v>59</v>
      </c>
    </row>
    <row r="9" customFormat="false" ht="33.75" hidden="false" customHeight="true" outlineLevel="0" collapsed="false">
      <c r="A9" s="4" t="s">
        <v>60</v>
      </c>
      <c r="B9" s="4" t="s">
        <v>53</v>
      </c>
      <c r="C9" s="4" t="s">
        <v>58</v>
      </c>
      <c r="D9" s="6" t="n">
        <v>2</v>
      </c>
      <c r="E9" s="16" t="n">
        <f aca="false">IF(D9=0,0,$B$4+$B$5*(D9-1))</f>
        <v>230</v>
      </c>
      <c r="F9" s="6" t="s">
        <v>61</v>
      </c>
      <c r="G9" s="5" t="s">
        <v>62</v>
      </c>
    </row>
    <row r="10" customFormat="false" ht="33.75" hidden="false" customHeight="true" outlineLevel="0" collapsed="false">
      <c r="A10" s="4" t="s">
        <v>63</v>
      </c>
      <c r="B10" s="4" t="s">
        <v>26</v>
      </c>
      <c r="C10" s="4" t="s">
        <v>26</v>
      </c>
      <c r="D10" s="6" t="n">
        <v>0</v>
      </c>
      <c r="E10" s="16" t="n">
        <f aca="false">IF(D10=0,0,$B$4+$B$5*(D10-1))</f>
        <v>0</v>
      </c>
      <c r="F10" s="6" t="s">
        <v>64</v>
      </c>
      <c r="G10" s="5" t="s">
        <v>65</v>
      </c>
    </row>
    <row r="11" customFormat="false" ht="15" hidden="false" customHeight="false" outlineLevel="0" collapsed="false">
      <c r="A11" s="10" t="s">
        <v>66</v>
      </c>
      <c r="B11" s="9"/>
      <c r="C11" s="9"/>
      <c r="D11" s="9"/>
      <c r="E11" s="11" t="n">
        <f aca="false">SUMIF(F7:F10,"À déposer",E7:E10)</f>
        <v>500</v>
      </c>
      <c r="F11" s="9"/>
      <c r="G11" s="9"/>
    </row>
    <row r="13" customFormat="false" ht="15" hidden="false" customHeight="false" outlineLevel="0" collapsed="false">
      <c r="A13" s="17" t="s">
        <v>67</v>
      </c>
    </row>
    <row r="14" customFormat="false" ht="15" hidden="false" customHeight="false" outlineLevel="0" collapsed="false">
      <c r="A14" s="17" t="s">
        <v>68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5"/>
  </cols>
  <sheetData>
    <row r="1" customFormat="false" ht="17.35" hidden="false" customHeight="false" outlineLevel="0" collapsed="false">
      <c r="A1" s="1" t="s">
        <v>69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70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12" t="s">
        <v>71</v>
      </c>
      <c r="B4" s="15" t="n">
        <v>15</v>
      </c>
    </row>
    <row r="6" customFormat="false" ht="30" hidden="false" customHeight="true" outlineLevel="0" collapsed="false">
      <c r="A6" s="3" t="s">
        <v>72</v>
      </c>
      <c r="B6" s="3" t="s">
        <v>73</v>
      </c>
      <c r="C6" s="3" t="s">
        <v>74</v>
      </c>
      <c r="D6" s="3" t="s">
        <v>75</v>
      </c>
      <c r="E6" s="3" t="s">
        <v>3</v>
      </c>
      <c r="F6" s="3" t="s">
        <v>76</v>
      </c>
    </row>
    <row r="7" customFormat="false" ht="15" hidden="false" customHeight="false" outlineLevel="0" collapsed="false">
      <c r="A7" s="4" t="s">
        <v>77</v>
      </c>
      <c r="B7" s="4" t="s">
        <v>78</v>
      </c>
      <c r="C7" s="5" t="s">
        <v>79</v>
      </c>
      <c r="D7" s="4" t="n">
        <v>1</v>
      </c>
      <c r="E7" s="6" t="s">
        <v>80</v>
      </c>
      <c r="F7" s="16" t="n">
        <f aca="false">IF($E7="À réserver",$B$4,0)</f>
        <v>15</v>
      </c>
    </row>
    <row r="8" customFormat="false" ht="15" hidden="false" customHeight="false" outlineLevel="0" collapsed="false">
      <c r="A8" s="4" t="s">
        <v>81</v>
      </c>
      <c r="B8" s="4" t="s">
        <v>78</v>
      </c>
      <c r="C8" s="5" t="s">
        <v>79</v>
      </c>
      <c r="D8" s="4" t="n">
        <v>1</v>
      </c>
      <c r="E8" s="6" t="s">
        <v>80</v>
      </c>
      <c r="F8" s="16" t="n">
        <f aca="false">IF($E8="À réserver",$B$4,0)</f>
        <v>15</v>
      </c>
    </row>
    <row r="9" customFormat="false" ht="15" hidden="false" customHeight="false" outlineLevel="0" collapsed="false">
      <c r="A9" s="4" t="s">
        <v>82</v>
      </c>
      <c r="B9" s="4" t="s">
        <v>78</v>
      </c>
      <c r="C9" s="5" t="s">
        <v>79</v>
      </c>
      <c r="D9" s="4" t="n">
        <v>1</v>
      </c>
      <c r="E9" s="6" t="s">
        <v>80</v>
      </c>
      <c r="F9" s="16" t="n">
        <f aca="false">IF($E9="À réserver",$B$4,0)</f>
        <v>15</v>
      </c>
    </row>
    <row r="10" customFormat="false" ht="15" hidden="false" customHeight="false" outlineLevel="0" collapsed="false">
      <c r="A10" s="4" t="s">
        <v>83</v>
      </c>
      <c r="B10" s="4" t="s">
        <v>78</v>
      </c>
      <c r="C10" s="5" t="s">
        <v>79</v>
      </c>
      <c r="D10" s="4" t="n">
        <v>2</v>
      </c>
      <c r="E10" s="6" t="s">
        <v>80</v>
      </c>
      <c r="F10" s="16" t="n">
        <f aca="false">IF($E10="À réserver",$B$4,0)</f>
        <v>15</v>
      </c>
    </row>
    <row r="11" customFormat="false" ht="15" hidden="false" customHeight="false" outlineLevel="0" collapsed="false">
      <c r="A11" s="4" t="s">
        <v>84</v>
      </c>
      <c r="B11" s="4" t="s">
        <v>78</v>
      </c>
      <c r="C11" s="5" t="s">
        <v>79</v>
      </c>
      <c r="D11" s="4" t="n">
        <v>2</v>
      </c>
      <c r="E11" s="6" t="s">
        <v>80</v>
      </c>
      <c r="F11" s="16" t="n">
        <f aca="false">IF($E11="À réserver",$B$4,0)</f>
        <v>15</v>
      </c>
    </row>
    <row r="12" customFormat="false" ht="15" hidden="false" customHeight="false" outlineLevel="0" collapsed="false">
      <c r="A12" s="4" t="s">
        <v>85</v>
      </c>
      <c r="B12" s="4" t="s">
        <v>78</v>
      </c>
      <c r="C12" s="5" t="s">
        <v>79</v>
      </c>
      <c r="D12" s="4" t="n">
        <v>2</v>
      </c>
      <c r="E12" s="6" t="s">
        <v>80</v>
      </c>
      <c r="F12" s="16" t="n">
        <f aca="false">IF($E12="À réserver",$B$4,0)</f>
        <v>15</v>
      </c>
    </row>
    <row r="13" customFormat="false" ht="15" hidden="false" customHeight="false" outlineLevel="0" collapsed="false">
      <c r="A13" s="4" t="s">
        <v>86</v>
      </c>
      <c r="B13" s="4" t="s">
        <v>78</v>
      </c>
      <c r="C13" s="5" t="s">
        <v>79</v>
      </c>
      <c r="D13" s="4" t="n">
        <v>3</v>
      </c>
      <c r="E13" s="6" t="s">
        <v>80</v>
      </c>
      <c r="F13" s="16" t="n">
        <f aca="false">IF($E13="À réserver",$B$4,0)</f>
        <v>15</v>
      </c>
    </row>
    <row r="14" customFormat="false" ht="15" hidden="false" customHeight="false" outlineLevel="0" collapsed="false">
      <c r="A14" s="4" t="s">
        <v>87</v>
      </c>
      <c r="B14" s="4" t="s">
        <v>78</v>
      </c>
      <c r="C14" s="5" t="s">
        <v>79</v>
      </c>
      <c r="D14" s="4" t="n">
        <v>3</v>
      </c>
      <c r="E14" s="6" t="s">
        <v>80</v>
      </c>
      <c r="F14" s="16" t="n">
        <f aca="false">IF($E14="À réserver",$B$4,0)</f>
        <v>15</v>
      </c>
    </row>
    <row r="15" customFormat="false" ht="15" hidden="false" customHeight="false" outlineLevel="0" collapsed="false">
      <c r="A15" s="4" t="s">
        <v>88</v>
      </c>
      <c r="B15" s="4" t="s">
        <v>78</v>
      </c>
      <c r="C15" s="5" t="s">
        <v>79</v>
      </c>
      <c r="D15" s="4" t="n">
        <v>3</v>
      </c>
      <c r="E15" s="6" t="s">
        <v>80</v>
      </c>
      <c r="F15" s="16" t="n">
        <f aca="false">IF($E15="À réserver",$B$4,0)</f>
        <v>15</v>
      </c>
    </row>
    <row r="16" customFormat="false" ht="15" hidden="false" customHeight="false" outlineLevel="0" collapsed="false">
      <c r="A16" s="4" t="s">
        <v>89</v>
      </c>
      <c r="B16" s="4" t="s">
        <v>78</v>
      </c>
      <c r="C16" s="5" t="s">
        <v>79</v>
      </c>
      <c r="D16" s="4" t="n">
        <v>3</v>
      </c>
      <c r="E16" s="6" t="s">
        <v>61</v>
      </c>
      <c r="F16" s="16" t="n">
        <f aca="false">IF($E16="À réserver",$B$4,0)</f>
        <v>0</v>
      </c>
    </row>
    <row r="17" customFormat="false" ht="15" hidden="false" customHeight="false" outlineLevel="0" collapsed="false">
      <c r="A17" s="4" t="s">
        <v>90</v>
      </c>
      <c r="B17" s="4" t="s">
        <v>78</v>
      </c>
      <c r="C17" s="5" t="s">
        <v>79</v>
      </c>
      <c r="D17" s="4" t="n">
        <v>3</v>
      </c>
      <c r="E17" s="6" t="s">
        <v>61</v>
      </c>
      <c r="F17" s="16" t="n">
        <f aca="false">IF($E17="À réserver",$B$4,0)</f>
        <v>0</v>
      </c>
    </row>
    <row r="18" customFormat="false" ht="15" hidden="false" customHeight="false" outlineLevel="0" collapsed="false">
      <c r="A18" s="4" t="s">
        <v>91</v>
      </c>
      <c r="B18" s="4" t="s">
        <v>78</v>
      </c>
      <c r="C18" s="5" t="s">
        <v>79</v>
      </c>
      <c r="D18" s="4" t="n">
        <v>3</v>
      </c>
      <c r="E18" s="6" t="s">
        <v>61</v>
      </c>
      <c r="F18" s="16" t="n">
        <f aca="false">IF($E18="À réserver",$B$4,0)</f>
        <v>0</v>
      </c>
    </row>
    <row r="19" customFormat="false" ht="15" hidden="false" customHeight="false" outlineLevel="0" collapsed="false">
      <c r="A19" s="4" t="s">
        <v>92</v>
      </c>
      <c r="B19" s="4" t="s">
        <v>78</v>
      </c>
      <c r="C19" s="5" t="s">
        <v>93</v>
      </c>
      <c r="D19" s="4" t="n">
        <v>3</v>
      </c>
      <c r="E19" s="6" t="s">
        <v>64</v>
      </c>
      <c r="F19" s="16" t="n">
        <f aca="false">IF($E19="À réserver",$B$4,0)</f>
        <v>0</v>
      </c>
    </row>
    <row r="20" customFormat="false" ht="23.85" hidden="false" customHeight="false" outlineLevel="0" collapsed="false">
      <c r="A20" s="4" t="s">
        <v>94</v>
      </c>
      <c r="B20" s="4" t="s">
        <v>95</v>
      </c>
      <c r="C20" s="5" t="s">
        <v>96</v>
      </c>
      <c r="D20" s="4" t="n">
        <v>1</v>
      </c>
      <c r="E20" s="6" t="s">
        <v>97</v>
      </c>
      <c r="F20" s="16" t="n">
        <f aca="false">IF($E20="À réserver",$B$4,0)</f>
        <v>0</v>
      </c>
    </row>
    <row r="21" customFormat="false" ht="15" hidden="false" customHeight="false" outlineLevel="0" collapsed="false">
      <c r="A21" s="4" t="s">
        <v>98</v>
      </c>
      <c r="B21" s="4" t="s">
        <v>99</v>
      </c>
      <c r="C21" s="5" t="s">
        <v>100</v>
      </c>
      <c r="D21" s="4" t="n">
        <v>3</v>
      </c>
      <c r="E21" s="6" t="s">
        <v>101</v>
      </c>
      <c r="F21" s="16" t="n">
        <f aca="false">IF($E21="À réserver",$B$4,0)</f>
        <v>0</v>
      </c>
    </row>
    <row r="22" customFormat="false" ht="15" hidden="false" customHeight="false" outlineLevel="0" collapsed="false">
      <c r="A22" s="4" t="s">
        <v>102</v>
      </c>
      <c r="B22" s="4" t="s">
        <v>99</v>
      </c>
      <c r="C22" s="5" t="s">
        <v>100</v>
      </c>
      <c r="D22" s="4" t="n">
        <v>3</v>
      </c>
      <c r="E22" s="6" t="s">
        <v>101</v>
      </c>
      <c r="F22" s="16" t="n">
        <f aca="false">IF($E22="À réserver",$B$4,0)</f>
        <v>0</v>
      </c>
    </row>
    <row r="23" customFormat="false" ht="15" hidden="false" customHeight="false" outlineLevel="0" collapsed="false">
      <c r="A23" s="10" t="s">
        <v>103</v>
      </c>
      <c r="B23" s="9"/>
      <c r="C23" s="9"/>
      <c r="D23" s="9"/>
      <c r="E23" s="9"/>
      <c r="F23" s="11" t="n">
        <f aca="false">SUM(F7:F22)</f>
        <v>135</v>
      </c>
    </row>
    <row r="25" customFormat="false" ht="15" hidden="false" customHeight="false" outlineLevel="0" collapsed="false">
      <c r="A25" s="17" t="s">
        <v>104</v>
      </c>
    </row>
    <row r="26" customFormat="false" ht="15" hidden="false" customHeight="false" outlineLevel="0" collapsed="false">
      <c r="A26" s="17" t="s">
        <v>105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" t="s">
        <v>106</v>
      </c>
      <c r="B1" s="1"/>
      <c r="C1" s="1"/>
      <c r="D1" s="1"/>
    </row>
    <row r="2" customFormat="false" ht="15" hidden="false" customHeight="false" outlineLevel="0" collapsed="false">
      <c r="A2" s="2" t="s">
        <v>107</v>
      </c>
      <c r="B2" s="2"/>
      <c r="C2" s="2"/>
      <c r="D2" s="2"/>
    </row>
    <row r="4" customFormat="false" ht="30" hidden="false" customHeight="true" outlineLevel="0" collapsed="false">
      <c r="A4" s="3" t="s">
        <v>108</v>
      </c>
      <c r="B4" s="3" t="s">
        <v>109</v>
      </c>
      <c r="C4" s="3" t="s">
        <v>110</v>
      </c>
      <c r="D4" s="3" t="s">
        <v>111</v>
      </c>
    </row>
    <row r="5" customFormat="false" ht="15" hidden="false" customHeight="false" outlineLevel="0" collapsed="false">
      <c r="A5" s="4" t="s">
        <v>112</v>
      </c>
      <c r="B5" s="8" t="n">
        <f aca="false">Domaines!F23</f>
        <v>135</v>
      </c>
      <c r="C5" s="8" t="n">
        <f aca="false">Domaines!F23</f>
        <v>135</v>
      </c>
      <c r="D5" s="5" t="s">
        <v>113</v>
      </c>
    </row>
    <row r="6" customFormat="false" ht="15" hidden="false" customHeight="false" outlineLevel="0" collapsed="false">
      <c r="A6" s="4" t="s">
        <v>114</v>
      </c>
      <c r="B6" s="7" t="n">
        <v>30</v>
      </c>
      <c r="C6" s="7" t="n">
        <v>60</v>
      </c>
      <c r="D6" s="5" t="s">
        <v>115</v>
      </c>
    </row>
    <row r="7" customFormat="false" ht="15" hidden="false" customHeight="false" outlineLevel="0" collapsed="false">
      <c r="A7" s="4" t="s">
        <v>116</v>
      </c>
      <c r="B7" s="7" t="n">
        <v>400</v>
      </c>
      <c r="C7" s="7" t="n">
        <v>900</v>
      </c>
      <c r="D7" s="5" t="s">
        <v>117</v>
      </c>
    </row>
    <row r="8" customFormat="false" ht="15" hidden="false" customHeight="false" outlineLevel="0" collapsed="false">
      <c r="A8" s="4" t="s">
        <v>42</v>
      </c>
      <c r="B8" s="8" t="n">
        <f aca="false">Depots!E11</f>
        <v>500</v>
      </c>
      <c r="C8" s="8" t="n">
        <f aca="false">Depots!E11</f>
        <v>500</v>
      </c>
      <c r="D8" s="5" t="s">
        <v>118</v>
      </c>
    </row>
    <row r="9" customFormat="false" ht="15" hidden="false" customHeight="false" outlineLevel="0" collapsed="false">
      <c r="A9" s="10" t="s">
        <v>119</v>
      </c>
      <c r="B9" s="11" t="n">
        <f aca="false">SUM(B5:B8)</f>
        <v>1065</v>
      </c>
      <c r="C9" s="11" t="n">
        <f aca="false">SUM(C5:C8)</f>
        <v>1595</v>
      </c>
      <c r="D9" s="18"/>
    </row>
    <row r="11" customFormat="false" ht="15" hidden="false" customHeight="false" outlineLevel="0" collapsed="false">
      <c r="A11" s="17" t="s">
        <v>120</v>
      </c>
    </row>
    <row r="12" customFormat="false" ht="15" hidden="false" customHeight="false" outlineLevel="0" collapsed="false">
      <c r="A12" s="17" t="s">
        <v>121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" t="s">
        <v>122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123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124</v>
      </c>
      <c r="B4" s="3" t="s">
        <v>125</v>
      </c>
      <c r="C4" s="3" t="s">
        <v>47</v>
      </c>
      <c r="D4" s="3" t="s">
        <v>8</v>
      </c>
      <c r="E4" s="3" t="s">
        <v>126</v>
      </c>
      <c r="F4" s="3" t="s">
        <v>48</v>
      </c>
    </row>
    <row r="5" customFormat="false" ht="15" hidden="false" customHeight="false" outlineLevel="0" collapsed="false">
      <c r="A5" s="4" t="s">
        <v>127</v>
      </c>
      <c r="B5" s="4" t="s">
        <v>128</v>
      </c>
      <c r="C5" s="4" t="s">
        <v>53</v>
      </c>
      <c r="D5" s="4" t="s">
        <v>129</v>
      </c>
      <c r="E5" s="4" t="s">
        <v>130</v>
      </c>
      <c r="F5" s="4" t="s">
        <v>131</v>
      </c>
    </row>
    <row r="6" customFormat="false" ht="15" hidden="false" customHeight="false" outlineLevel="0" collapsed="false">
      <c r="A6" s="4" t="s">
        <v>132</v>
      </c>
      <c r="B6" s="4" t="s">
        <v>133</v>
      </c>
      <c r="C6" s="4" t="s">
        <v>134</v>
      </c>
      <c r="D6" s="4" t="s">
        <v>129</v>
      </c>
      <c r="E6" s="4" t="s">
        <v>135</v>
      </c>
      <c r="F6" s="4" t="s">
        <v>131</v>
      </c>
    </row>
    <row r="7" customFormat="false" ht="15" hidden="false" customHeight="false" outlineLevel="0" collapsed="false">
      <c r="A7" s="4" t="s">
        <v>136</v>
      </c>
      <c r="B7" s="4" t="s">
        <v>63</v>
      </c>
      <c r="C7" s="4" t="s">
        <v>53</v>
      </c>
      <c r="D7" s="4" t="s">
        <v>129</v>
      </c>
      <c r="E7" s="4" t="s">
        <v>137</v>
      </c>
      <c r="F7" s="4" t="s">
        <v>138</v>
      </c>
    </row>
    <row r="8" customFormat="false" ht="15" hidden="false" customHeight="false" outlineLevel="0" collapsed="false">
      <c r="A8" s="4" t="s">
        <v>139</v>
      </c>
      <c r="B8" s="4" t="s">
        <v>140</v>
      </c>
      <c r="C8" s="4" t="s">
        <v>53</v>
      </c>
      <c r="D8" s="4" t="s">
        <v>129</v>
      </c>
      <c r="E8" s="4" t="s">
        <v>141</v>
      </c>
      <c r="F8" s="4" t="s">
        <v>58</v>
      </c>
    </row>
    <row r="9" customFormat="false" ht="15" hidden="false" customHeight="false" outlineLevel="0" collapsed="false">
      <c r="A9" s="4" t="s">
        <v>142</v>
      </c>
      <c r="B9" s="4" t="s">
        <v>140</v>
      </c>
      <c r="C9" s="4" t="s">
        <v>134</v>
      </c>
      <c r="D9" s="4" t="s">
        <v>129</v>
      </c>
      <c r="E9" s="4" t="s">
        <v>143</v>
      </c>
      <c r="F9" s="4" t="s">
        <v>58</v>
      </c>
    </row>
    <row r="10" customFormat="false" ht="15" hidden="false" customHeight="false" outlineLevel="0" collapsed="false">
      <c r="A10" s="4" t="s">
        <v>144</v>
      </c>
      <c r="B10" s="4" t="s">
        <v>145</v>
      </c>
      <c r="C10" s="4" t="s">
        <v>134</v>
      </c>
      <c r="D10" s="4" t="s">
        <v>129</v>
      </c>
      <c r="E10" s="4" t="s">
        <v>143</v>
      </c>
      <c r="F10" s="4" t="s">
        <v>58</v>
      </c>
    </row>
    <row r="11" customFormat="false" ht="15" hidden="false" customHeight="false" outlineLevel="0" collapsed="false">
      <c r="A11" s="4" t="s">
        <v>146</v>
      </c>
      <c r="B11" s="4" t="s">
        <v>147</v>
      </c>
      <c r="C11" s="4" t="s">
        <v>134</v>
      </c>
      <c r="D11" s="4" t="s">
        <v>129</v>
      </c>
      <c r="E11" s="4" t="s">
        <v>143</v>
      </c>
      <c r="F11" s="4" t="s">
        <v>58</v>
      </c>
    </row>
    <row r="12" customFormat="false" ht="15" hidden="false" customHeight="false" outlineLevel="0" collapsed="false">
      <c r="A12" s="4" t="s">
        <v>148</v>
      </c>
      <c r="B12" s="4" t="s">
        <v>149</v>
      </c>
      <c r="C12" s="4" t="s">
        <v>134</v>
      </c>
      <c r="D12" s="4" t="s">
        <v>129</v>
      </c>
      <c r="E12" s="4" t="s">
        <v>143</v>
      </c>
      <c r="F12" s="4" t="s">
        <v>58</v>
      </c>
    </row>
    <row r="13" customFormat="false" ht="15" hidden="false" customHeight="false" outlineLevel="0" collapsed="false">
      <c r="A13" s="4" t="s">
        <v>150</v>
      </c>
      <c r="B13" s="4" t="s">
        <v>151</v>
      </c>
      <c r="C13" s="4" t="s">
        <v>134</v>
      </c>
      <c r="D13" s="4" t="s">
        <v>129</v>
      </c>
      <c r="E13" s="4" t="s">
        <v>152</v>
      </c>
      <c r="F13" s="4" t="s">
        <v>153</v>
      </c>
    </row>
    <row r="14" customFormat="false" ht="15" hidden="false" customHeight="false" outlineLevel="0" collapsed="false">
      <c r="A14" s="4" t="s">
        <v>154</v>
      </c>
      <c r="B14" s="4" t="s">
        <v>155</v>
      </c>
      <c r="C14" s="4" t="s">
        <v>53</v>
      </c>
      <c r="D14" s="4" t="s">
        <v>129</v>
      </c>
      <c r="E14" s="4" t="s">
        <v>156</v>
      </c>
      <c r="F14" s="4" t="s">
        <v>153</v>
      </c>
    </row>
    <row r="15" customFormat="false" ht="15" hidden="false" customHeight="false" outlineLevel="0" collapsed="false">
      <c r="A15" s="4" t="s">
        <v>157</v>
      </c>
      <c r="B15" s="4" t="s">
        <v>155</v>
      </c>
      <c r="C15" s="4" t="s">
        <v>53</v>
      </c>
      <c r="D15" s="4" t="s">
        <v>129</v>
      </c>
      <c r="E15" s="4" t="s">
        <v>158</v>
      </c>
      <c r="F15" s="4" t="s">
        <v>159</v>
      </c>
    </row>
    <row r="17" customFormat="false" ht="15" hidden="false" customHeight="false" outlineLevel="0" collapsed="false">
      <c r="A17" s="17" t="s">
        <v>160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6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161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162</v>
      </c>
      <c r="B2" s="2"/>
      <c r="C2" s="2"/>
      <c r="D2" s="2"/>
      <c r="E2" s="2"/>
    </row>
    <row r="4" customFormat="false" ht="30" hidden="false" customHeight="true" outlineLevel="0" collapsed="false">
      <c r="A4" s="3" t="s">
        <v>2</v>
      </c>
      <c r="B4" s="3" t="s">
        <v>163</v>
      </c>
      <c r="C4" s="3" t="s">
        <v>4</v>
      </c>
      <c r="D4" s="3" t="s">
        <v>164</v>
      </c>
      <c r="E4" s="3" t="s">
        <v>165</v>
      </c>
    </row>
    <row r="5" customFormat="false" ht="27.75" hidden="false" customHeight="true" outlineLevel="0" collapsed="false">
      <c r="A5" s="4" t="n">
        <v>1</v>
      </c>
      <c r="B5" s="5" t="s">
        <v>166</v>
      </c>
      <c r="C5" s="4" t="s">
        <v>167</v>
      </c>
      <c r="D5" s="19"/>
      <c r="E5" s="19"/>
    </row>
    <row r="6" customFormat="false" ht="27.75" hidden="false" customHeight="true" outlineLevel="0" collapsed="false">
      <c r="A6" s="4" t="n">
        <v>2</v>
      </c>
      <c r="B6" s="5" t="s">
        <v>168</v>
      </c>
      <c r="C6" s="4" t="s">
        <v>169</v>
      </c>
      <c r="D6" s="19"/>
      <c r="E6" s="19"/>
    </row>
    <row r="7" customFormat="false" ht="27.75" hidden="false" customHeight="true" outlineLevel="0" collapsed="false">
      <c r="A7" s="4" t="n">
        <v>3</v>
      </c>
      <c r="B7" s="5" t="s">
        <v>170</v>
      </c>
      <c r="C7" s="4" t="s">
        <v>31</v>
      </c>
      <c r="D7" s="19"/>
      <c r="E7" s="19"/>
    </row>
    <row r="8" customFormat="false" ht="27.75" hidden="false" customHeight="true" outlineLevel="0" collapsed="false">
      <c r="A8" s="4" t="n">
        <v>4</v>
      </c>
      <c r="B8" s="5" t="s">
        <v>171</v>
      </c>
      <c r="C8" s="4" t="s">
        <v>167</v>
      </c>
      <c r="D8" s="19"/>
      <c r="E8" s="19"/>
    </row>
    <row r="9" customFormat="false" ht="27.75" hidden="false" customHeight="true" outlineLevel="0" collapsed="false">
      <c r="A9" s="4" t="n">
        <v>5</v>
      </c>
      <c r="B9" s="5" t="s">
        <v>172</v>
      </c>
      <c r="C9" s="4" t="s">
        <v>173</v>
      </c>
      <c r="D9" s="19"/>
      <c r="E9" s="19"/>
    </row>
    <row r="10" customFormat="false" ht="27.75" hidden="false" customHeight="true" outlineLevel="0" collapsed="false">
      <c r="A10" s="4" t="n">
        <v>6</v>
      </c>
      <c r="B10" s="5" t="s">
        <v>174</v>
      </c>
      <c r="C10" s="4" t="s">
        <v>175</v>
      </c>
      <c r="D10" s="19"/>
      <c r="E10" s="19"/>
    </row>
    <row r="11" customFormat="false" ht="27.75" hidden="false" customHeight="true" outlineLevel="0" collapsed="false">
      <c r="A11" s="4" t="n">
        <v>7</v>
      </c>
      <c r="B11" s="5" t="s">
        <v>176</v>
      </c>
      <c r="C11" s="4" t="s">
        <v>177</v>
      </c>
      <c r="D11" s="19"/>
      <c r="E11" s="19"/>
    </row>
    <row r="12" customFormat="false" ht="27.75" hidden="false" customHeight="true" outlineLevel="0" collapsed="false">
      <c r="A12" s="4" t="n">
        <v>8</v>
      </c>
      <c r="B12" s="5" t="s">
        <v>178</v>
      </c>
      <c r="C12" s="4" t="s">
        <v>179</v>
      </c>
      <c r="D12" s="19"/>
      <c r="E12" s="19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8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180</v>
      </c>
      <c r="B1" s="1"/>
      <c r="C1" s="1"/>
      <c r="D1" s="1"/>
    </row>
    <row r="2" customFormat="false" ht="15" hidden="false" customHeight="false" outlineLevel="0" collapsed="false">
      <c r="A2" s="2" t="s">
        <v>181</v>
      </c>
      <c r="B2" s="2"/>
      <c r="C2" s="2"/>
      <c r="D2" s="2"/>
    </row>
    <row r="4" customFormat="false" ht="15" hidden="false" customHeight="false" outlineLevel="0" collapsed="false">
      <c r="A4" s="12" t="s">
        <v>182</v>
      </c>
    </row>
    <row r="5" customFormat="false" ht="15" hidden="false" customHeight="false" outlineLevel="0" collapsed="false">
      <c r="A5" s="20" t="s">
        <v>183</v>
      </c>
    </row>
    <row r="6" customFormat="false" ht="15" hidden="false" customHeight="false" outlineLevel="0" collapsed="false">
      <c r="A6" s="14" t="s">
        <v>184</v>
      </c>
    </row>
    <row r="7" customFormat="false" ht="15" hidden="false" customHeight="false" outlineLevel="0" collapsed="false">
      <c r="A7" s="21" t="s">
        <v>185</v>
      </c>
    </row>
    <row r="8" customFormat="false" ht="15" hidden="false" customHeight="false" outlineLevel="0" collapsed="false">
      <c r="A8" s="22" t="s">
        <v>186</v>
      </c>
    </row>
    <row r="9" customFormat="false" ht="15" hidden="false" customHeight="false" outlineLevel="0" collapsed="false">
      <c r="A9" s="23" t="s">
        <v>187</v>
      </c>
    </row>
    <row r="11" customFormat="false" ht="15" hidden="false" customHeight="false" outlineLevel="0" collapsed="false">
      <c r="A11" s="12" t="s">
        <v>188</v>
      </c>
    </row>
    <row r="12" customFormat="false" ht="15" hidden="false" customHeight="false" outlineLevel="0" collapsed="false">
      <c r="A12" s="14" t="s">
        <v>189</v>
      </c>
    </row>
    <row r="13" customFormat="false" ht="15" hidden="false" customHeight="false" outlineLevel="0" collapsed="false">
      <c r="A13" s="14" t="s">
        <v>190</v>
      </c>
    </row>
    <row r="14" customFormat="false" ht="15" hidden="false" customHeight="false" outlineLevel="0" collapsed="false">
      <c r="A14" s="14" t="s">
        <v>191</v>
      </c>
    </row>
    <row r="15" customFormat="false" ht="15" hidden="false" customHeight="false" outlineLevel="0" collapsed="false">
      <c r="A15" s="14" t="s">
        <v>192</v>
      </c>
    </row>
    <row r="16" customFormat="false" ht="15" hidden="false" customHeight="false" outlineLevel="0" collapsed="false">
      <c r="A16" s="14" t="s">
        <v>193</v>
      </c>
    </row>
    <row r="18" customFormat="false" ht="15" hidden="false" customHeight="false" outlineLevel="0" collapsed="false">
      <c r="A18" s="12" t="s">
        <v>194</v>
      </c>
    </row>
    <row r="19" customFormat="false" ht="15" hidden="false" customHeight="false" outlineLevel="0" collapsed="false">
      <c r="A19" s="24" t="s">
        <v>2</v>
      </c>
      <c r="B19" s="24" t="s">
        <v>163</v>
      </c>
      <c r="C19" s="24" t="s">
        <v>4</v>
      </c>
      <c r="D19" s="24" t="s">
        <v>164</v>
      </c>
      <c r="E19" s="24" t="s">
        <v>165</v>
      </c>
    </row>
    <row r="20" customFormat="false" ht="15" hidden="false" customHeight="false" outlineLevel="0" collapsed="false">
      <c r="A20" s="4" t="n">
        <v>1</v>
      </c>
      <c r="B20" s="4" t="s">
        <v>195</v>
      </c>
      <c r="C20" s="4" t="s">
        <v>167</v>
      </c>
      <c r="D20" s="6" t="s">
        <v>196</v>
      </c>
      <c r="E20" s="6" t="s">
        <v>197</v>
      </c>
    </row>
    <row r="22" customFormat="false" ht="15" hidden="false" customHeight="false" outlineLevel="0" collapsed="false">
      <c r="A22" s="12" t="s">
        <v>198</v>
      </c>
    </row>
    <row r="23" customFormat="false" ht="15" hidden="false" customHeight="false" outlineLevel="0" collapsed="false">
      <c r="A23" s="14" t="s">
        <v>199</v>
      </c>
    </row>
    <row r="24" customFormat="false" ht="15" hidden="false" customHeight="false" outlineLevel="0" collapsed="false">
      <c r="A24" s="14" t="s">
        <v>200</v>
      </c>
    </row>
    <row r="25" customFormat="false" ht="15" hidden="false" customHeight="false" outlineLevel="0" collapsed="false">
      <c r="A25" s="14" t="s">
        <v>201</v>
      </c>
    </row>
    <row r="26" customFormat="false" ht="15" hidden="false" customHeight="false" outlineLevel="0" collapsed="false">
      <c r="A26" s="14" t="s">
        <v>202</v>
      </c>
    </row>
    <row r="27" customFormat="false" ht="15" hidden="false" customHeight="false" outlineLevel="0" collapsed="false">
      <c r="A27" s="14" t="s">
        <v>203</v>
      </c>
    </row>
    <row r="28" customFormat="false" ht="15" hidden="false" customHeight="false" outlineLevel="0" collapsed="false">
      <c r="A28" s="14" t="s">
        <v>204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2026-08-20T15:43:30Z</dcterms:created>
  <dc:creator>openpyxl</dc:creator>
  <dc:description/>
  <dc:language>en-US</dc:language>
  <cp:lastModifiedBy/>
  <dcterms:modified xsi:type="dcterms:W3CDTF">2026-08-20T15:43:30Z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